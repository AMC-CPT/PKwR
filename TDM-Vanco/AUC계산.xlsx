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\vanco\소아\"/>
    </mc:Choice>
  </mc:AlternateContent>
  <xr:revisionPtr revIDLastSave="0" documentId="13_ncr:1_{46D8BE82-1B89-47BD-AC49-7F82D69AC64C}" xr6:coauthVersionLast="47" xr6:coauthVersionMax="47" xr10:uidLastSave="{00000000-0000-0000-0000-000000000000}"/>
  <bookViews>
    <workbookView xWindow="4730" yWindow="1320" windowWidth="26720" windowHeight="11400" xr2:uid="{8EF72292-BC7C-4CCE-981F-DA9AB93DD6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1" l="1"/>
  <c r="O4" i="1" s="1"/>
  <c r="K4" i="1"/>
  <c r="M4" i="1" s="1"/>
  <c r="J4" i="1"/>
  <c r="I4" i="1"/>
  <c r="L3" i="1"/>
  <c r="O3" i="1" s="1"/>
  <c r="K3" i="1"/>
  <c r="AB3" i="1" s="1"/>
  <c r="J3" i="1"/>
  <c r="I3" i="1"/>
  <c r="M3" i="1" s="1"/>
  <c r="AD2" i="1"/>
  <c r="AC2" i="1"/>
  <c r="AB2" i="1"/>
  <c r="AA2" i="1"/>
  <c r="Z2" i="1"/>
  <c r="Y2" i="1"/>
  <c r="X2" i="1"/>
  <c r="L2" i="1"/>
  <c r="K2" i="1"/>
  <c r="N4" i="1" l="1"/>
  <c r="P4" i="1" s="1"/>
  <c r="Q4" i="1" s="1"/>
  <c r="AB4" i="1"/>
  <c r="P3" i="1"/>
  <c r="Q3" i="1" s="1"/>
  <c r="R3" i="1" s="1"/>
  <c r="N3" i="1"/>
  <c r="J2" i="1"/>
  <c r="O2" i="1" s="1"/>
  <c r="I2" i="1"/>
  <c r="M2" i="1" s="1"/>
  <c r="AA4" i="1" l="1"/>
  <c r="Z4" i="1"/>
  <c r="R4" i="1"/>
  <c r="T4" i="1" s="1"/>
  <c r="Y3" i="1"/>
  <c r="X3" i="1"/>
  <c r="S3" i="1"/>
  <c r="AA3" i="1"/>
  <c r="Z3" i="1"/>
  <c r="T3" i="1"/>
  <c r="N2" i="1"/>
  <c r="P2" i="1" s="1"/>
  <c r="Q2" i="1" s="1"/>
  <c r="Y4" i="1" l="1"/>
  <c r="X4" i="1"/>
  <c r="S4" i="1"/>
  <c r="AD3" i="1"/>
  <c r="AC3" i="1"/>
  <c r="R2" i="1"/>
  <c r="S2" i="1" s="1"/>
  <c r="AD4" i="1" l="1"/>
  <c r="AC4" i="1"/>
  <c r="T2" i="1"/>
</calcChain>
</file>

<file path=xl/sharedStrings.xml><?xml version="1.0" encoding="utf-8"?>
<sst xmlns="http://schemas.openxmlformats.org/spreadsheetml/2006/main" count="30" uniqueCount="30">
  <si>
    <t>TH1</t>
    <phoneticPr fontId="1" type="noConversion"/>
  </si>
  <si>
    <t>TH2</t>
    <phoneticPr fontId="1" type="noConversion"/>
  </si>
  <si>
    <t>TH3</t>
    <phoneticPr fontId="1" type="noConversion"/>
  </si>
  <si>
    <t>TH4</t>
    <phoneticPr fontId="1" type="noConversion"/>
  </si>
  <si>
    <t>ETA1</t>
    <phoneticPr fontId="1" type="noConversion"/>
  </si>
  <si>
    <t>ETA2</t>
    <phoneticPr fontId="1" type="noConversion"/>
  </si>
  <si>
    <t>ETA3</t>
    <phoneticPr fontId="1" type="noConversion"/>
  </si>
  <si>
    <t>V1</t>
    <phoneticPr fontId="1" type="noConversion"/>
  </si>
  <si>
    <t>CL</t>
    <phoneticPr fontId="1" type="noConversion"/>
  </si>
  <si>
    <t>V2</t>
    <phoneticPr fontId="1" type="noConversion"/>
  </si>
  <si>
    <t>Q</t>
    <phoneticPr fontId="1" type="noConversion"/>
  </si>
  <si>
    <t>K10</t>
    <phoneticPr fontId="1" type="noConversion"/>
  </si>
  <si>
    <t>K12</t>
    <phoneticPr fontId="1" type="noConversion"/>
  </si>
  <si>
    <t>K21</t>
    <phoneticPr fontId="1" type="noConversion"/>
  </si>
  <si>
    <t>CLCR</t>
    <phoneticPr fontId="1" type="noConversion"/>
  </si>
  <si>
    <t>Alpha</t>
    <phoneticPr fontId="1" type="noConversion"/>
  </si>
  <si>
    <t>Beta</t>
    <phoneticPr fontId="1" type="noConversion"/>
  </si>
  <si>
    <t>k10+k12+k21</t>
    <phoneticPr fontId="1" type="noConversion"/>
  </si>
  <si>
    <t>Ax</t>
    <phoneticPr fontId="1" type="noConversion"/>
  </si>
  <si>
    <t>Bx</t>
    <phoneticPr fontId="1" type="noConversion"/>
  </si>
  <si>
    <t>eAlpT</t>
    <phoneticPr fontId="1" type="noConversion"/>
  </si>
  <si>
    <t>Dose</t>
    <phoneticPr fontId="1" type="noConversion"/>
  </si>
  <si>
    <t>Tinf</t>
    <phoneticPr fontId="1" type="noConversion"/>
  </si>
  <si>
    <t>tau</t>
    <phoneticPr fontId="1" type="noConversion"/>
  </si>
  <si>
    <t>eAlpD</t>
    <phoneticPr fontId="1" type="noConversion"/>
  </si>
  <si>
    <t>eBetT</t>
    <phoneticPr fontId="1" type="noConversion"/>
  </si>
  <si>
    <t>eBetD</t>
    <phoneticPr fontId="1" type="noConversion"/>
  </si>
  <si>
    <t>AUC</t>
    <phoneticPr fontId="1" type="noConversion"/>
  </si>
  <si>
    <t>CminSS</t>
    <phoneticPr fontId="1" type="noConversion"/>
  </si>
  <si>
    <t>CmaxSS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</si>
</sst>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2" fontId="0" fillId="3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2E074-E2E5-4D1A-AD74-1DEA4C38B92A}">
  <dimension ref="A1:AD4"/>
  <sheetViews>
    <sheetView tabSelected="1" workbookViewId="0">
      <selection activeCell="P14" sqref="P14"/>
    </sheetView>
  </sheetViews>
  <sheetFormatPr defaultColWidth="6.58203125" defaultRowHeight="17" x14ac:dyDescent="0.45"/>
  <cols>
    <col min="1" max="1" width="6.5" bestFit="1" customWidth="1"/>
    <col min="2" max="5" width="5.5" bestFit="1" customWidth="1"/>
    <col min="6" max="6" width="10.25" bestFit="1" customWidth="1"/>
    <col min="7" max="7" width="8.5" bestFit="1" customWidth="1"/>
    <col min="8" max="8" width="10.25" bestFit="1" customWidth="1"/>
    <col min="9" max="9" width="5.83203125" bestFit="1" customWidth="1"/>
    <col min="10" max="10" width="5.5" bestFit="1" customWidth="1"/>
    <col min="11" max="15" width="5.83203125" bestFit="1" customWidth="1"/>
    <col min="16" max="16" width="13.58203125" bestFit="1" customWidth="1"/>
    <col min="17" max="17" width="5.83203125" bestFit="1" customWidth="1"/>
    <col min="18" max="18" width="6.5" bestFit="1" customWidth="1"/>
    <col min="19" max="20" width="5.83203125" bestFit="1" customWidth="1"/>
    <col min="21" max="21" width="5.75" bestFit="1" customWidth="1"/>
    <col min="22" max="22" width="4.75" bestFit="1" customWidth="1"/>
    <col min="23" max="23" width="4.25" bestFit="1" customWidth="1"/>
    <col min="24" max="24" width="6.33203125" bestFit="1" customWidth="1"/>
    <col min="25" max="25" width="6.75" bestFit="1" customWidth="1"/>
    <col min="26" max="26" width="6.25" bestFit="1" customWidth="1"/>
    <col min="28" max="28" width="6.83203125" bestFit="1" customWidth="1"/>
    <col min="29" max="29" width="8" bestFit="1" customWidth="1"/>
    <col min="30" max="30" width="8.25" bestFit="1" customWidth="1"/>
  </cols>
  <sheetData>
    <row r="1" spans="1:30" x14ac:dyDescent="0.45">
      <c r="A1" s="3" t="s">
        <v>14</v>
      </c>
      <c r="B1" t="s">
        <v>0</v>
      </c>
      <c r="C1" t="s">
        <v>1</v>
      </c>
      <c r="D1" t="s">
        <v>2</v>
      </c>
      <c r="E1" t="s">
        <v>3</v>
      </c>
      <c r="F1" s="3" t="s">
        <v>4</v>
      </c>
      <c r="G1" s="3" t="s">
        <v>5</v>
      </c>
      <c r="H1" s="3" t="s">
        <v>6</v>
      </c>
      <c r="I1" t="s">
        <v>7</v>
      </c>
      <c r="J1" t="s">
        <v>9</v>
      </c>
      <c r="K1" t="s">
        <v>8</v>
      </c>
      <c r="L1" t="s">
        <v>10</v>
      </c>
      <c r="M1" t="s">
        <v>11</v>
      </c>
      <c r="N1" t="s">
        <v>12</v>
      </c>
      <c r="O1" t="s">
        <v>13</v>
      </c>
      <c r="P1" t="s">
        <v>17</v>
      </c>
      <c r="Q1" t="s">
        <v>16</v>
      </c>
      <c r="R1" t="s">
        <v>15</v>
      </c>
      <c r="S1" t="s">
        <v>18</v>
      </c>
      <c r="T1" t="s">
        <v>19</v>
      </c>
      <c r="U1" s="3" t="s">
        <v>21</v>
      </c>
      <c r="V1" s="3" t="s">
        <v>22</v>
      </c>
      <c r="W1" s="3" t="s">
        <v>23</v>
      </c>
      <c r="X1" t="s">
        <v>20</v>
      </c>
      <c r="Y1" t="s">
        <v>24</v>
      </c>
      <c r="Z1" t="s">
        <v>25</v>
      </c>
      <c r="AA1" t="s">
        <v>26</v>
      </c>
      <c r="AB1" s="4" t="s">
        <v>27</v>
      </c>
      <c r="AC1" s="4" t="s">
        <v>28</v>
      </c>
      <c r="AD1" t="s">
        <v>29</v>
      </c>
    </row>
    <row r="2" spans="1:30" x14ac:dyDescent="0.45">
      <c r="A2" s="3">
        <v>107.4</v>
      </c>
      <c r="B2">
        <v>33.1</v>
      </c>
      <c r="C2">
        <v>48.3</v>
      </c>
      <c r="D2">
        <v>3.96</v>
      </c>
      <c r="E2">
        <v>6.99</v>
      </c>
      <c r="F2" s="3">
        <v>-7.9501000000000002E-2</v>
      </c>
      <c r="G2" s="3">
        <v>0.43142999999999998</v>
      </c>
      <c r="H2" s="3">
        <v>-8.0076999999999995E-2</v>
      </c>
      <c r="I2" s="2">
        <f>B2*EXP(F2)</f>
        <v>30.5704018905437</v>
      </c>
      <c r="J2">
        <f>C2</f>
        <v>48.3</v>
      </c>
      <c r="K2" s="1">
        <f>D2*A2/100*EXP(G2)</f>
        <v>6.5473737913008492</v>
      </c>
      <c r="L2" s="1">
        <f>E2*EXP(H2)</f>
        <v>6.4520864314596604</v>
      </c>
      <c r="M2" s="1">
        <f>K2/I2</f>
        <v>0.21417362502277534</v>
      </c>
      <c r="N2" s="1">
        <f>L2/I2</f>
        <v>0.21105664408865607</v>
      </c>
      <c r="O2" s="1">
        <f>L2/J2</f>
        <v>0.13358357000951679</v>
      </c>
      <c r="P2" s="1">
        <f>SUM(M2:O2)</f>
        <v>0.55881383912094817</v>
      </c>
      <c r="Q2" s="1">
        <f>(P2-SQRT(P2^2-4*O2*M2))/2</f>
        <v>5.7015037366336146E-2</v>
      </c>
      <c r="R2" s="1">
        <f>O2*M2/Q2</f>
        <v>0.501798801754612</v>
      </c>
      <c r="S2" s="1">
        <f>(R2-O2)/(R2-Q2)/I2/R2</f>
        <v>5.3966226962004933E-2</v>
      </c>
      <c r="T2" s="1">
        <f>(Q2-O2)/(Q2-R2)/I2/Q2</f>
        <v>9.8766766735200406E-2</v>
      </c>
      <c r="U2" s="3">
        <v>700</v>
      </c>
      <c r="V2" s="3">
        <v>1</v>
      </c>
      <c r="W2" s="3">
        <v>8</v>
      </c>
      <c r="X2" s="2">
        <f>EXP(R2*W2)</f>
        <v>55.389520435006467</v>
      </c>
      <c r="Y2" s="2">
        <f>EXP(R2*V2)</f>
        <v>1.6516896623884192</v>
      </c>
      <c r="Z2" s="2">
        <f>EXP(Q2*W2)</f>
        <v>1.5779401578627752</v>
      </c>
      <c r="AA2" s="2">
        <f>EXP(Q2*V2)</f>
        <v>1.0586717299104385</v>
      </c>
      <c r="AB2" s="5">
        <f>U2/K2*(24/W2)</f>
        <v>320.73928676413118</v>
      </c>
      <c r="AC2" s="5">
        <f>U2/V2*(S2*(Y2-1)/(X2-1)+T2*(AA2-1)/(Z2-1))</f>
        <v>7.4713036659747898</v>
      </c>
      <c r="AD2" s="2">
        <f>U2/V2*(S2*(1 - 1/Y2)/(1 - 1/X2) + T2*(1 - 1/AA2)/(1 - 1/Z2))</f>
        <v>25.640321877309262</v>
      </c>
    </row>
    <row r="3" spans="1:30" x14ac:dyDescent="0.45">
      <c r="A3" s="3">
        <v>107.4</v>
      </c>
      <c r="B3">
        <v>33.1</v>
      </c>
      <c r="C3">
        <v>48.3</v>
      </c>
      <c r="D3">
        <v>3.96</v>
      </c>
      <c r="E3">
        <v>6.99</v>
      </c>
      <c r="F3" s="3">
        <v>-7.9501000000000002E-2</v>
      </c>
      <c r="G3" s="3">
        <v>0.43142999999999998</v>
      </c>
      <c r="H3" s="3">
        <v>-8.0076999999999995E-2</v>
      </c>
      <c r="I3" s="2">
        <f>B3*EXP(F3)</f>
        <v>30.5704018905437</v>
      </c>
      <c r="J3">
        <f>C3</f>
        <v>48.3</v>
      </c>
      <c r="K3" s="1">
        <f>D3*A3/100*EXP(G3)</f>
        <v>6.5473737913008492</v>
      </c>
      <c r="L3" s="1">
        <f>E3*EXP(H3)</f>
        <v>6.4520864314596604</v>
      </c>
      <c r="M3" s="1">
        <f>K3/I3</f>
        <v>0.21417362502277534</v>
      </c>
      <c r="N3" s="1">
        <f>L3/I3</f>
        <v>0.21105664408865607</v>
      </c>
      <c r="O3" s="1">
        <f>L3/J3</f>
        <v>0.13358357000951679</v>
      </c>
      <c r="P3" s="1">
        <f>SUM(M3:O3)</f>
        <v>0.55881383912094817</v>
      </c>
      <c r="Q3" s="1">
        <f>(P3-SQRT(P3^2-4*O3*M3))/2</f>
        <v>5.7015037366336146E-2</v>
      </c>
      <c r="R3" s="1">
        <f>O3*M3/Q3</f>
        <v>0.501798801754612</v>
      </c>
      <c r="S3" s="1">
        <f>(R3-O3)/(R3-Q3)/I3/R3</f>
        <v>5.3966226962004933E-2</v>
      </c>
      <c r="T3" s="1">
        <f>(Q3-O3)/(Q3-R3)/I3/Q3</f>
        <v>9.8766766735200406E-2</v>
      </c>
      <c r="U3" s="3">
        <v>800</v>
      </c>
      <c r="V3" s="3">
        <v>1</v>
      </c>
      <c r="W3" s="3">
        <v>8</v>
      </c>
      <c r="X3" s="2">
        <f>EXP(R3*W3)</f>
        <v>55.389520435006467</v>
      </c>
      <c r="Y3" s="2">
        <f>EXP(R3*V3)</f>
        <v>1.6516896623884192</v>
      </c>
      <c r="Z3" s="2">
        <f>EXP(Q3*W3)</f>
        <v>1.5779401578627752</v>
      </c>
      <c r="AA3" s="2">
        <f>EXP(Q3*V3)</f>
        <v>1.0586717299104385</v>
      </c>
      <c r="AB3" s="5">
        <f>U3/K3*(24/W3)</f>
        <v>366.55918487329279</v>
      </c>
      <c r="AC3" s="5">
        <f>U3/V3*(S3*(Y3-1)/(X3-1)+T3*(AA3-1)/(Z3-1))</f>
        <v>8.5386327611140462</v>
      </c>
      <c r="AD3" s="2">
        <f>U3/V3*(S3*(1 - 1/Y3)/(1 - 1/X3) + T3*(1 - 1/AA3)/(1 - 1/Z3))</f>
        <v>29.303225002639156</v>
      </c>
    </row>
    <row r="4" spans="1:30" x14ac:dyDescent="0.45">
      <c r="A4" s="3">
        <v>107.4</v>
      </c>
      <c r="B4">
        <v>33.1</v>
      </c>
      <c r="C4">
        <v>48.3</v>
      </c>
      <c r="D4">
        <v>3.96</v>
      </c>
      <c r="E4">
        <v>6.99</v>
      </c>
      <c r="F4" s="3">
        <v>-7.9501000000000002E-2</v>
      </c>
      <c r="G4" s="3">
        <v>0.43142999999999998</v>
      </c>
      <c r="H4" s="3">
        <v>-8.0076999999999995E-2</v>
      </c>
      <c r="I4" s="2">
        <f>B4*EXP(F4)</f>
        <v>30.5704018905437</v>
      </c>
      <c r="J4">
        <f>C4</f>
        <v>48.3</v>
      </c>
      <c r="K4" s="1">
        <f>D4*A4/100*EXP(G4)</f>
        <v>6.5473737913008492</v>
      </c>
      <c r="L4" s="1">
        <f>E4*EXP(H4)</f>
        <v>6.4520864314596604</v>
      </c>
      <c r="M4" s="1">
        <f>K4/I4</f>
        <v>0.21417362502277534</v>
      </c>
      <c r="N4" s="1">
        <f>L4/I4</f>
        <v>0.21105664408865607</v>
      </c>
      <c r="O4" s="1">
        <f>L4/J4</f>
        <v>0.13358357000951679</v>
      </c>
      <c r="P4" s="1">
        <f>SUM(M4:O4)</f>
        <v>0.55881383912094817</v>
      </c>
      <c r="Q4" s="1">
        <f>(P4-SQRT(P4^2-4*O4*M4))/2</f>
        <v>5.7015037366336146E-2</v>
      </c>
      <c r="R4" s="1">
        <f>O4*M4/Q4</f>
        <v>0.501798801754612</v>
      </c>
      <c r="S4" s="1">
        <f>(R4-O4)/(R4-Q4)/I4/R4</f>
        <v>5.3966226962004933E-2</v>
      </c>
      <c r="T4" s="1">
        <f>(Q4-O4)/(Q4-R4)/I4/Q4</f>
        <v>9.8766766735200406E-2</v>
      </c>
      <c r="U4" s="3">
        <v>900</v>
      </c>
      <c r="V4" s="3">
        <v>1</v>
      </c>
      <c r="W4" s="3">
        <v>8</v>
      </c>
      <c r="X4" s="2">
        <f>EXP(R4*W4)</f>
        <v>55.389520435006467</v>
      </c>
      <c r="Y4" s="2">
        <f>EXP(R4*V4)</f>
        <v>1.6516896623884192</v>
      </c>
      <c r="Z4" s="2">
        <f>EXP(Q4*W4)</f>
        <v>1.5779401578627752</v>
      </c>
      <c r="AA4" s="2">
        <f>EXP(Q4*V4)</f>
        <v>1.0586717299104385</v>
      </c>
      <c r="AB4" s="5">
        <f>U4/K4*(24/W4)</f>
        <v>412.37908298245441</v>
      </c>
      <c r="AC4" s="5">
        <f>U4/V4*(S4*(Y4-1)/(X4-1)+T4*(AA4-1)/(Z4-1))</f>
        <v>9.6059618562533018</v>
      </c>
      <c r="AD4" s="2">
        <f>U4/V4*(S4*(1 - 1/Y4)/(1 - 1/X4) + T4*(1 - 1/AA4)/(1 - 1/Z4))</f>
        <v>32.96612812796905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Kyun-Seop Bae</dc:creator>
  <cp:lastModifiedBy>Jung, Soo-Min</cp:lastModifiedBy>
  <dcterms:created xsi:type="dcterms:W3CDTF">2023-09-19T02:42:20Z</dcterms:created>
  <dcterms:modified xsi:type="dcterms:W3CDTF">2023-09-19T05:17:02Z</dcterms:modified>
</cp:coreProperties>
</file>